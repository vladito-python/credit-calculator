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GERSON G.S\Downloads\"/>
    </mc:Choice>
  </mc:AlternateContent>
  <xr:revisionPtr revIDLastSave="0" documentId="13_ncr:1_{861E90F7-9049-4D1D-89BA-3F9D55827592}" xr6:coauthVersionLast="45" xr6:coauthVersionMax="47" xr10:uidLastSave="{00000000-0000-0000-0000-000000000000}"/>
  <bookViews>
    <workbookView xWindow="-107" yWindow="-107" windowWidth="20847" windowHeight="11208" xr2:uid="{00000000-000D-0000-FFFF-FFFF00000000}"/>
  </bookViews>
  <sheets>
    <sheet name="GLOBAL" sheetId="8" r:id="rId1"/>
    <sheet name="EMP023" sheetId="6" r:id="rId2"/>
    <sheet name="FGA01" sheetId="3" r:id="rId3"/>
    <sheet name="FGA02" sheetId="4" r:id="rId4"/>
    <sheet name="FGA03" sheetId="5" r:id="rId5"/>
  </sheets>
  <definedNames>
    <definedName name="_xlnm.Print_Area" localSheetId="2">'FGA01'!$A$1:$H$25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5" l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" i="5"/>
  <c r="C5" i="4" l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4" i="4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4" i="3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" i="6"/>
  <c r="B3" i="6"/>
</calcChain>
</file>

<file path=xl/sharedStrings.xml><?xml version="1.0" encoding="utf-8"?>
<sst xmlns="http://schemas.openxmlformats.org/spreadsheetml/2006/main" count="30" uniqueCount="17">
  <si>
    <t>PLAZO</t>
  </si>
  <si>
    <t>COMISION</t>
  </si>
  <si>
    <t xml:space="preserve"> </t>
  </si>
  <si>
    <t>Tabla de comisión desde $3,500,001 hasta $5,600,000 más servicios adicionales</t>
  </si>
  <si>
    <t>Tabla de comisión desde $5,600,001 hasta $8,600,000 más servicios adicionales</t>
  </si>
  <si>
    <t>FONDO GLOBAL</t>
  </si>
  <si>
    <t>VALOR MÍNIMO</t>
  </si>
  <si>
    <t>VALOR MÁXIMO</t>
  </si>
  <si>
    <t>FONDO GARANTÍAS EMP023</t>
  </si>
  <si>
    <t>% COMISIÓN</t>
  </si>
  <si>
    <t>% COMISION</t>
  </si>
  <si>
    <t>% COMISION+ IVA</t>
  </si>
  <si>
    <t>FONDO ANTIOQUIA FGA01</t>
  </si>
  <si>
    <t>% COMISIÓN + IVA</t>
  </si>
  <si>
    <t>FONDO ANTIOQUIA FGA02</t>
  </si>
  <si>
    <t>FONDO ANTIOQUIA FGA03</t>
  </si>
  <si>
    <t>Tabla de comisión desde $8,600,001 hasta $39,000,000 más servicios 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</si>
</sst>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0.00000"/>
    <numFmt numFmtId="168" formatCode="0.0000"/>
    <numFmt numFmtId="169" formatCode="0.000000"/>
    <numFmt numFmtId="174" formatCode="0.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10" fontId="0" fillId="0" borderId="0" xfId="1" applyNumberFormat="1" applyFont="1" applyBorder="1"/>
    <xf numFmtId="167" fontId="0" fillId="0" borderId="0" xfId="0" applyNumberFormat="1"/>
    <xf numFmtId="10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0" fontId="0" fillId="0" borderId="0" xfId="1" applyNumberFormat="1" applyFont="1" applyAlignment="1">
      <alignment horizontal="right"/>
    </xf>
    <xf numFmtId="10" fontId="0" fillId="0" borderId="0" xfId="1" applyNumberFormat="1" applyFont="1"/>
    <xf numFmtId="3" fontId="0" fillId="0" borderId="0" xfId="0" applyNumberFormat="1"/>
    <xf numFmtId="174" fontId="0" fillId="0" borderId="0" xfId="1" applyNumberFormat="1" applyFont="1"/>
    <xf numFmtId="0" fontId="2" fillId="0" borderId="0" xfId="0" applyFont="1" applyAlignment="1"/>
    <xf numFmtId="0" fontId="2" fillId="0" borderId="0" xfId="0" applyFont="1" applyAlignment="1">
      <alignment wrapText="1"/>
    </xf>
    <xf numFmtId="0" fontId="4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FD3F-E6D6-45C0-AB0A-A47A8DC054EF}">
  <sheetPr>
    <tabColor rgb="FF92D050"/>
  </sheetPr>
  <dimension ref="A1:C3"/>
  <sheetViews>
    <sheetView tabSelected="1" zoomScale="67" workbookViewId="0">
      <selection activeCell="H29" sqref="H29"/>
    </sheetView>
  </sheetViews>
  <sheetFormatPr baseColWidth="10" defaultRowHeight="14" x14ac:dyDescent="0.3"/>
  <cols>
    <col min="1" max="1" width="14.59765625" bestFit="1" customWidth="1"/>
    <col min="2" max="2" width="14.296875" customWidth="1"/>
    <col min="3" max="3" width="15" customWidth="1"/>
  </cols>
  <sheetData>
    <row r="1" spans="1:3" x14ac:dyDescent="0.3">
      <c r="A1" s="1" t="s">
        <v>5</v>
      </c>
    </row>
    <row r="2" spans="1:3" x14ac:dyDescent="0.3">
      <c r="A2" t="s">
        <v>9</v>
      </c>
      <c r="B2" t="s">
        <v>6</v>
      </c>
      <c r="C2" t="s">
        <v>7</v>
      </c>
    </row>
    <row r="3" spans="1:3" x14ac:dyDescent="0.3">
      <c r="A3" s="10">
        <v>1.1900000000000001E-2</v>
      </c>
      <c r="B3" s="11">
        <v>1500000</v>
      </c>
      <c r="C3" s="11">
        <v>3500000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8"/>
  <sheetViews>
    <sheetView zoomScale="72" workbookViewId="0">
      <selection activeCell="F23" sqref="F23"/>
    </sheetView>
  </sheetViews>
  <sheetFormatPr baseColWidth="10" defaultColWidth="10.796875" defaultRowHeight="14" x14ac:dyDescent="0.3"/>
  <cols>
    <col min="2" max="2" width="12.09765625" customWidth="1"/>
    <col min="3" max="3" width="18.296875" customWidth="1"/>
  </cols>
  <sheetData>
    <row r="1" spans="1:3" x14ac:dyDescent="0.3">
      <c r="A1" s="1" t="s">
        <v>8</v>
      </c>
    </row>
    <row r="2" spans="1:3" x14ac:dyDescent="0.3">
      <c r="A2" s="7" t="s">
        <v>0</v>
      </c>
      <c r="B2" s="7" t="s">
        <v>10</v>
      </c>
      <c r="C2" s="7" t="s">
        <v>11</v>
      </c>
    </row>
    <row r="3" spans="1:3" x14ac:dyDescent="0.3">
      <c r="A3" s="8">
        <v>1</v>
      </c>
      <c r="B3" s="9">
        <f>B14/12</f>
        <v>2.9166666666666668E-3</v>
      </c>
      <c r="C3" s="12">
        <f>(B3*1.19)</f>
        <v>3.4708333333333331E-3</v>
      </c>
    </row>
    <row r="4" spans="1:3" x14ac:dyDescent="0.3">
      <c r="A4" s="8">
        <v>2</v>
      </c>
      <c r="B4" s="9">
        <v>5.8339999999999998E-3</v>
      </c>
      <c r="C4" s="12">
        <f t="shared" ref="C4:C38" si="0">(B4*1.19)</f>
        <v>6.9424599999999993E-3</v>
      </c>
    </row>
    <row r="5" spans="1:3" x14ac:dyDescent="0.3">
      <c r="A5" s="8">
        <v>3</v>
      </c>
      <c r="B5" s="9">
        <v>8.7510000000000001E-3</v>
      </c>
      <c r="C5" s="12">
        <f t="shared" si="0"/>
        <v>1.041369E-2</v>
      </c>
    </row>
    <row r="6" spans="1:3" x14ac:dyDescent="0.3">
      <c r="A6" s="8">
        <v>4</v>
      </c>
      <c r="B6" s="9">
        <v>1.1668E-2</v>
      </c>
      <c r="C6" s="12">
        <f t="shared" si="0"/>
        <v>1.3884919999999999E-2</v>
      </c>
    </row>
    <row r="7" spans="1:3" x14ac:dyDescent="0.3">
      <c r="A7" s="8">
        <v>5</v>
      </c>
      <c r="B7" s="9">
        <v>1.4585000000000001E-2</v>
      </c>
      <c r="C7" s="12">
        <f t="shared" si="0"/>
        <v>1.7356150000000001E-2</v>
      </c>
    </row>
    <row r="8" spans="1:3" x14ac:dyDescent="0.3">
      <c r="A8" s="8">
        <v>6</v>
      </c>
      <c r="B8" s="9">
        <v>1.7502E-2</v>
      </c>
      <c r="C8" s="12">
        <f t="shared" si="0"/>
        <v>2.082738E-2</v>
      </c>
    </row>
    <row r="9" spans="1:3" x14ac:dyDescent="0.3">
      <c r="A9" s="8">
        <v>7</v>
      </c>
      <c r="B9" s="9">
        <v>2.0419E-2</v>
      </c>
      <c r="C9" s="12">
        <f t="shared" si="0"/>
        <v>2.4298609999999998E-2</v>
      </c>
    </row>
    <row r="10" spans="1:3" x14ac:dyDescent="0.3">
      <c r="A10" s="8">
        <v>8</v>
      </c>
      <c r="B10" s="9">
        <v>2.3335999999999999E-2</v>
      </c>
      <c r="C10" s="12">
        <f t="shared" si="0"/>
        <v>2.7769839999999997E-2</v>
      </c>
    </row>
    <row r="11" spans="1:3" x14ac:dyDescent="0.3">
      <c r="A11" s="8">
        <v>9</v>
      </c>
      <c r="B11" s="9">
        <v>2.6252999999999999E-2</v>
      </c>
      <c r="C11" s="12">
        <f t="shared" si="0"/>
        <v>3.1241069999999996E-2</v>
      </c>
    </row>
    <row r="12" spans="1:3" x14ac:dyDescent="0.3">
      <c r="A12" s="8">
        <v>10</v>
      </c>
      <c r="B12" s="9">
        <v>2.9170000000000001E-2</v>
      </c>
      <c r="C12" s="12">
        <f t="shared" si="0"/>
        <v>3.4712300000000001E-2</v>
      </c>
    </row>
    <row r="13" spans="1:3" x14ac:dyDescent="0.3">
      <c r="A13" s="8">
        <v>11</v>
      </c>
      <c r="B13" s="9">
        <v>3.2086999999999997E-2</v>
      </c>
      <c r="C13" s="12">
        <f t="shared" si="0"/>
        <v>3.8183529999999993E-2</v>
      </c>
    </row>
    <row r="14" spans="1:3" x14ac:dyDescent="0.3">
      <c r="A14">
        <v>12</v>
      </c>
      <c r="B14" s="2">
        <v>3.5000000000000003E-2</v>
      </c>
      <c r="C14" s="12">
        <f t="shared" si="0"/>
        <v>4.165E-2</v>
      </c>
    </row>
    <row r="15" spans="1:3" x14ac:dyDescent="0.3">
      <c r="A15">
        <v>13</v>
      </c>
      <c r="B15" s="2">
        <v>3.5200000000000002E-2</v>
      </c>
      <c r="C15" s="12">
        <f t="shared" si="0"/>
        <v>4.1888000000000002E-2</v>
      </c>
    </row>
    <row r="16" spans="1:3" x14ac:dyDescent="0.3">
      <c r="A16">
        <v>14</v>
      </c>
      <c r="B16" s="2">
        <v>3.5799999999999998E-2</v>
      </c>
      <c r="C16" s="12">
        <f t="shared" si="0"/>
        <v>4.2601999999999994E-2</v>
      </c>
    </row>
    <row r="17" spans="1:3" x14ac:dyDescent="0.3">
      <c r="A17">
        <v>15</v>
      </c>
      <c r="B17" s="2">
        <v>3.6799999999999999E-2</v>
      </c>
      <c r="C17" s="12">
        <f t="shared" si="0"/>
        <v>4.3791999999999998E-2</v>
      </c>
    </row>
    <row r="18" spans="1:3" x14ac:dyDescent="0.3">
      <c r="A18">
        <v>16</v>
      </c>
      <c r="B18" s="2">
        <v>3.7999999999999999E-2</v>
      </c>
      <c r="C18" s="12">
        <f t="shared" si="0"/>
        <v>4.5219999999999996E-2</v>
      </c>
    </row>
    <row r="19" spans="1:3" x14ac:dyDescent="0.3">
      <c r="A19">
        <v>17</v>
      </c>
      <c r="B19" s="2">
        <v>3.9300000000000002E-2</v>
      </c>
      <c r="C19" s="12">
        <f t="shared" si="0"/>
        <v>4.6767000000000003E-2</v>
      </c>
    </row>
    <row r="20" spans="1:3" x14ac:dyDescent="0.3">
      <c r="A20">
        <v>18</v>
      </c>
      <c r="B20" s="2">
        <v>4.0899999999999999E-2</v>
      </c>
      <c r="C20" s="12">
        <f t="shared" si="0"/>
        <v>4.8670999999999999E-2</v>
      </c>
    </row>
    <row r="21" spans="1:3" x14ac:dyDescent="0.3">
      <c r="A21">
        <v>19</v>
      </c>
      <c r="B21" s="2">
        <v>4.2599999999999999E-2</v>
      </c>
      <c r="C21" s="12">
        <f t="shared" si="0"/>
        <v>5.0693999999999996E-2</v>
      </c>
    </row>
    <row r="22" spans="1:3" x14ac:dyDescent="0.3">
      <c r="A22">
        <v>20</v>
      </c>
      <c r="B22" s="2">
        <v>4.4400000000000002E-2</v>
      </c>
      <c r="C22" s="12">
        <f t="shared" si="0"/>
        <v>5.2836000000000001E-2</v>
      </c>
    </row>
    <row r="23" spans="1:3" x14ac:dyDescent="0.3">
      <c r="A23">
        <v>21</v>
      </c>
      <c r="B23" s="2">
        <v>4.6399999999999997E-2</v>
      </c>
      <c r="C23" s="12">
        <f t="shared" si="0"/>
        <v>5.5215999999999994E-2</v>
      </c>
    </row>
    <row r="24" spans="1:3" x14ac:dyDescent="0.3">
      <c r="A24">
        <v>22</v>
      </c>
      <c r="B24" s="2">
        <v>4.8399999999999999E-2</v>
      </c>
      <c r="C24" s="12">
        <f t="shared" si="0"/>
        <v>5.7595999999999994E-2</v>
      </c>
    </row>
    <row r="25" spans="1:3" x14ac:dyDescent="0.3">
      <c r="A25">
        <v>23</v>
      </c>
      <c r="B25" s="2">
        <v>5.0500000000000003E-2</v>
      </c>
      <c r="C25" s="12">
        <f t="shared" si="0"/>
        <v>6.0095000000000003E-2</v>
      </c>
    </row>
    <row r="26" spans="1:3" x14ac:dyDescent="0.3">
      <c r="A26">
        <v>24</v>
      </c>
      <c r="B26" s="2">
        <v>5.2699999999999997E-2</v>
      </c>
      <c r="C26" s="12">
        <f t="shared" si="0"/>
        <v>6.2712999999999991E-2</v>
      </c>
    </row>
    <row r="27" spans="1:3" x14ac:dyDescent="0.3">
      <c r="A27">
        <v>25</v>
      </c>
      <c r="B27" s="2">
        <v>5.3499999999999999E-2</v>
      </c>
      <c r="C27" s="12">
        <f t="shared" si="0"/>
        <v>6.3664999999999999E-2</v>
      </c>
    </row>
    <row r="28" spans="1:3" x14ac:dyDescent="0.3">
      <c r="A28">
        <v>26</v>
      </c>
      <c r="B28" s="2">
        <v>5.45E-2</v>
      </c>
      <c r="C28" s="12">
        <f t="shared" si="0"/>
        <v>6.4854999999999996E-2</v>
      </c>
    </row>
    <row r="29" spans="1:3" x14ac:dyDescent="0.3">
      <c r="A29">
        <v>27</v>
      </c>
      <c r="B29" s="2">
        <v>5.5599999999999997E-2</v>
      </c>
      <c r="C29" s="12">
        <f t="shared" si="0"/>
        <v>6.6163999999999987E-2</v>
      </c>
    </row>
    <row r="30" spans="1:3" x14ac:dyDescent="0.3">
      <c r="A30">
        <v>28</v>
      </c>
      <c r="B30" s="2">
        <v>5.6800000000000003E-2</v>
      </c>
      <c r="C30" s="12">
        <f t="shared" si="0"/>
        <v>6.7591999999999999E-2</v>
      </c>
    </row>
    <row r="31" spans="1:3" x14ac:dyDescent="0.3">
      <c r="A31">
        <v>29</v>
      </c>
      <c r="B31" s="2">
        <v>5.8200000000000002E-2</v>
      </c>
      <c r="C31" s="12">
        <f t="shared" si="0"/>
        <v>6.9258E-2</v>
      </c>
    </row>
    <row r="32" spans="1:3" x14ac:dyDescent="0.3">
      <c r="A32">
        <v>30</v>
      </c>
      <c r="B32" s="2">
        <v>5.9700000000000003E-2</v>
      </c>
      <c r="C32" s="12">
        <f t="shared" si="0"/>
        <v>7.1042999999999995E-2</v>
      </c>
    </row>
    <row r="33" spans="1:3" x14ac:dyDescent="0.3">
      <c r="A33">
        <v>31</v>
      </c>
      <c r="B33" s="2">
        <v>6.13E-2</v>
      </c>
      <c r="C33" s="12">
        <f t="shared" si="0"/>
        <v>7.2946999999999998E-2</v>
      </c>
    </row>
    <row r="34" spans="1:3" x14ac:dyDescent="0.3">
      <c r="A34">
        <v>32</v>
      </c>
      <c r="B34" s="2">
        <v>6.2899999999999998E-2</v>
      </c>
      <c r="C34" s="12">
        <f t="shared" si="0"/>
        <v>7.4850999999999987E-2</v>
      </c>
    </row>
    <row r="35" spans="1:3" x14ac:dyDescent="0.3">
      <c r="A35">
        <v>33</v>
      </c>
      <c r="B35" s="2">
        <v>6.4699999999999994E-2</v>
      </c>
      <c r="C35" s="12">
        <f t="shared" si="0"/>
        <v>7.6992999999999992E-2</v>
      </c>
    </row>
    <row r="36" spans="1:3" x14ac:dyDescent="0.3">
      <c r="A36">
        <v>34</v>
      </c>
      <c r="B36" s="2">
        <v>6.6500000000000004E-2</v>
      </c>
      <c r="C36" s="12">
        <f t="shared" si="0"/>
        <v>7.9134999999999997E-2</v>
      </c>
    </row>
    <row r="37" spans="1:3" x14ac:dyDescent="0.3">
      <c r="A37">
        <v>35</v>
      </c>
      <c r="B37" s="2">
        <v>6.83E-2</v>
      </c>
      <c r="C37" s="12">
        <f t="shared" si="0"/>
        <v>8.1277000000000002E-2</v>
      </c>
    </row>
    <row r="38" spans="1:3" x14ac:dyDescent="0.3">
      <c r="A38">
        <v>36</v>
      </c>
      <c r="B38" s="2">
        <v>7.0199999999999999E-2</v>
      </c>
      <c r="C38" s="12">
        <f t="shared" si="0"/>
        <v>8.3538000000000001E-2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25"/>
  <sheetViews>
    <sheetView zoomScale="77" zoomScaleNormal="100" workbookViewId="0">
      <selection activeCell="D18" sqref="D18"/>
    </sheetView>
  </sheetViews>
  <sheetFormatPr baseColWidth="10" defaultColWidth="10.796875" defaultRowHeight="14" x14ac:dyDescent="0.3"/>
  <cols>
    <col min="3" max="3" width="18.09765625" customWidth="1"/>
    <col min="4" max="4" width="16.796875" customWidth="1"/>
    <col min="6" max="6" width="13.3984375" bestFit="1" customWidth="1"/>
    <col min="7" max="7" width="21.5" bestFit="1" customWidth="1"/>
  </cols>
  <sheetData>
    <row r="1" spans="1:12" x14ac:dyDescent="0.3">
      <c r="A1" s="1" t="s">
        <v>12</v>
      </c>
    </row>
    <row r="2" spans="1:12" ht="18.8" customHeight="1" x14ac:dyDescent="0.4">
      <c r="A2" s="15" t="s">
        <v>3</v>
      </c>
      <c r="C2" s="14"/>
      <c r="D2" s="14"/>
      <c r="E2" s="14"/>
      <c r="F2" s="14"/>
      <c r="G2" s="14"/>
      <c r="H2" s="14"/>
      <c r="I2" s="14"/>
    </row>
    <row r="3" spans="1:12" x14ac:dyDescent="0.3">
      <c r="A3" s="16" t="s">
        <v>0</v>
      </c>
      <c r="B3" s="16" t="s">
        <v>1</v>
      </c>
      <c r="C3" s="17" t="s">
        <v>13</v>
      </c>
      <c r="E3" s="1"/>
    </row>
    <row r="4" spans="1:12" x14ac:dyDescent="0.3">
      <c r="A4">
        <v>1</v>
      </c>
      <c r="B4" s="2">
        <v>1.6806000000000001E-2</v>
      </c>
      <c r="C4" s="10">
        <f>(B4*1.19)</f>
        <v>1.9999140000000002E-2</v>
      </c>
      <c r="E4" s="3"/>
    </row>
    <row r="5" spans="1:12" x14ac:dyDescent="0.3">
      <c r="A5">
        <v>2</v>
      </c>
      <c r="B5" s="2">
        <v>1.6806000000000001E-2</v>
      </c>
      <c r="C5" s="10">
        <f t="shared" ref="C5:C23" si="0">(B5*1.19)</f>
        <v>1.9999140000000002E-2</v>
      </c>
      <c r="E5" s="3"/>
    </row>
    <row r="6" spans="1:12" x14ac:dyDescent="0.3">
      <c r="A6">
        <v>3</v>
      </c>
      <c r="B6" s="2">
        <v>1.6806000000000001E-2</v>
      </c>
      <c r="C6" s="10">
        <f t="shared" si="0"/>
        <v>1.9999140000000002E-2</v>
      </c>
      <c r="E6" s="3"/>
    </row>
    <row r="7" spans="1:12" x14ac:dyDescent="0.3">
      <c r="A7">
        <v>4</v>
      </c>
      <c r="B7" s="2">
        <v>1.6806000000000001E-2</v>
      </c>
      <c r="C7" s="10">
        <f t="shared" si="0"/>
        <v>1.9999140000000002E-2</v>
      </c>
      <c r="E7" s="3"/>
      <c r="J7" t="s">
        <v>2</v>
      </c>
      <c r="K7" s="4" t="s">
        <v>2</v>
      </c>
      <c r="L7" t="s">
        <v>2</v>
      </c>
    </row>
    <row r="8" spans="1:12" x14ac:dyDescent="0.3">
      <c r="A8">
        <v>5</v>
      </c>
      <c r="B8" s="2">
        <v>1.6806000000000001E-2</v>
      </c>
      <c r="C8" s="10">
        <f t="shared" si="0"/>
        <v>1.9999140000000002E-2</v>
      </c>
      <c r="E8" s="3"/>
    </row>
    <row r="9" spans="1:12" x14ac:dyDescent="0.3">
      <c r="A9">
        <v>6</v>
      </c>
      <c r="B9" s="2">
        <v>1.6806000000000001E-2</v>
      </c>
      <c r="C9" s="10">
        <f t="shared" si="0"/>
        <v>1.9999140000000002E-2</v>
      </c>
      <c r="E9" s="3"/>
    </row>
    <row r="10" spans="1:12" x14ac:dyDescent="0.3">
      <c r="A10">
        <v>7</v>
      </c>
      <c r="B10" s="2">
        <v>1.6806000000000001E-2</v>
      </c>
      <c r="C10" s="10">
        <f t="shared" si="0"/>
        <v>1.9999140000000002E-2</v>
      </c>
      <c r="E10" s="3"/>
    </row>
    <row r="11" spans="1:12" x14ac:dyDescent="0.3">
      <c r="A11">
        <v>8</v>
      </c>
      <c r="B11" s="2">
        <v>1.6806000000000001E-2</v>
      </c>
      <c r="C11" s="10">
        <f t="shared" si="0"/>
        <v>1.9999140000000002E-2</v>
      </c>
      <c r="E11" s="3"/>
    </row>
    <row r="12" spans="1:12" x14ac:dyDescent="0.3">
      <c r="A12">
        <v>9</v>
      </c>
      <c r="B12" s="2">
        <v>1.6806000000000001E-2</v>
      </c>
      <c r="C12" s="10">
        <f t="shared" si="0"/>
        <v>1.9999140000000002E-2</v>
      </c>
      <c r="E12" s="3"/>
    </row>
    <row r="13" spans="1:12" x14ac:dyDescent="0.3">
      <c r="A13">
        <v>10</v>
      </c>
      <c r="B13" s="2">
        <v>1.6806000000000001E-2</v>
      </c>
      <c r="C13" s="10">
        <f t="shared" si="0"/>
        <v>1.9999140000000002E-2</v>
      </c>
      <c r="E13" s="3"/>
    </row>
    <row r="14" spans="1:12" x14ac:dyDescent="0.3">
      <c r="A14">
        <v>11</v>
      </c>
      <c r="B14" s="2">
        <v>1.6806000000000001E-2</v>
      </c>
      <c r="C14" s="10">
        <f t="shared" si="0"/>
        <v>1.9999140000000002E-2</v>
      </c>
      <c r="E14" s="3"/>
    </row>
    <row r="15" spans="1:12" x14ac:dyDescent="0.3">
      <c r="A15">
        <v>12</v>
      </c>
      <c r="B15" s="2">
        <v>1.6806000000000001E-2</v>
      </c>
      <c r="C15" s="10">
        <f t="shared" si="0"/>
        <v>1.9999140000000002E-2</v>
      </c>
      <c r="E15" s="3"/>
    </row>
    <row r="16" spans="1:12" x14ac:dyDescent="0.3">
      <c r="A16">
        <v>13</v>
      </c>
      <c r="B16" s="2">
        <v>1.6806000000000001E-2</v>
      </c>
      <c r="C16" s="10">
        <f t="shared" si="0"/>
        <v>1.9999140000000002E-2</v>
      </c>
      <c r="E16" s="3"/>
    </row>
    <row r="17" spans="1:6" x14ac:dyDescent="0.3">
      <c r="A17">
        <v>14</v>
      </c>
      <c r="B17" s="2">
        <v>1.6806000000000001E-2</v>
      </c>
      <c r="C17" s="10">
        <f t="shared" si="0"/>
        <v>1.9999140000000002E-2</v>
      </c>
      <c r="E17" s="3"/>
    </row>
    <row r="18" spans="1:6" x14ac:dyDescent="0.3">
      <c r="A18">
        <v>15</v>
      </c>
      <c r="B18" s="2">
        <v>1.6806000000000001E-2</v>
      </c>
      <c r="C18" s="10">
        <f t="shared" si="0"/>
        <v>1.9999140000000002E-2</v>
      </c>
      <c r="E18" s="3"/>
    </row>
    <row r="19" spans="1:6" x14ac:dyDescent="0.3">
      <c r="A19">
        <v>16</v>
      </c>
      <c r="B19" s="2">
        <v>1.6806000000000001E-2</v>
      </c>
      <c r="C19" s="10">
        <f t="shared" si="0"/>
        <v>1.9999140000000002E-2</v>
      </c>
      <c r="E19" s="3"/>
    </row>
    <row r="20" spans="1:6" x14ac:dyDescent="0.3">
      <c r="A20">
        <v>17</v>
      </c>
      <c r="B20" s="2">
        <v>1.6806000000000001E-2</v>
      </c>
      <c r="C20" s="10">
        <f t="shared" si="0"/>
        <v>1.9999140000000002E-2</v>
      </c>
      <c r="E20" s="3"/>
    </row>
    <row r="21" spans="1:6" x14ac:dyDescent="0.3">
      <c r="A21">
        <v>18</v>
      </c>
      <c r="B21" s="2">
        <v>1.6806000000000001E-2</v>
      </c>
      <c r="C21" s="10">
        <f t="shared" si="0"/>
        <v>1.9999140000000002E-2</v>
      </c>
      <c r="E21" s="3"/>
    </row>
    <row r="22" spans="1:6" x14ac:dyDescent="0.3">
      <c r="A22">
        <v>19</v>
      </c>
      <c r="B22" s="2">
        <v>1.6806000000000001E-2</v>
      </c>
      <c r="C22" s="10">
        <f t="shared" si="0"/>
        <v>1.9999140000000002E-2</v>
      </c>
      <c r="E22" s="3"/>
    </row>
    <row r="23" spans="1:6" x14ac:dyDescent="0.3">
      <c r="A23">
        <v>20</v>
      </c>
      <c r="B23" s="2">
        <v>1.6806000000000001E-2</v>
      </c>
      <c r="C23" s="10">
        <f t="shared" si="0"/>
        <v>1.9999140000000002E-2</v>
      </c>
      <c r="E23" s="3"/>
    </row>
    <row r="24" spans="1:6" x14ac:dyDescent="0.3">
      <c r="D24" s="2"/>
      <c r="F24" s="5" t="s">
        <v>2</v>
      </c>
    </row>
    <row r="25" spans="1:6" x14ac:dyDescent="0.3">
      <c r="C25" t="s">
        <v>2</v>
      </c>
    </row>
  </sheetData>
  <pageMargins left="0.7" right="0.7" top="0.75" bottom="0.75" header="0.3" footer="0.3"/>
  <pageSetup paperSize="9" scale="76" orientation="portrait" horizontalDpi="0" verticalDpi="0" r:id="rId1"/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33"/>
  <sheetViews>
    <sheetView zoomScale="75" zoomScaleNormal="100" workbookViewId="0">
      <selection activeCell="C33" sqref="C33"/>
    </sheetView>
  </sheetViews>
  <sheetFormatPr baseColWidth="10" defaultColWidth="10.796875" defaultRowHeight="14" x14ac:dyDescent="0.3"/>
  <cols>
    <col min="3" max="3" width="17.59765625" customWidth="1"/>
    <col min="4" max="4" width="13.19921875" bestFit="1" customWidth="1"/>
    <col min="5" max="5" width="21.69921875" bestFit="1" customWidth="1"/>
  </cols>
  <sheetData>
    <row r="1" spans="1:7" ht="18.8" customHeight="1" x14ac:dyDescent="0.4">
      <c r="A1" s="1" t="s">
        <v>14</v>
      </c>
      <c r="B1" s="14"/>
      <c r="C1" s="14"/>
      <c r="D1" s="14"/>
      <c r="E1" s="14"/>
      <c r="F1" s="14"/>
      <c r="G1" s="14"/>
    </row>
    <row r="2" spans="1:7" ht="18.3" x14ac:dyDescent="0.4">
      <c r="A2" s="15" t="s">
        <v>4</v>
      </c>
      <c r="B2" s="13"/>
      <c r="C2" s="13"/>
      <c r="D2" s="13"/>
      <c r="E2" s="13"/>
    </row>
    <row r="3" spans="1:7" x14ac:dyDescent="0.3">
      <c r="A3" s="16" t="s">
        <v>0</v>
      </c>
      <c r="B3" s="16" t="s">
        <v>1</v>
      </c>
      <c r="C3" s="17" t="s">
        <v>13</v>
      </c>
      <c r="E3" s="1"/>
    </row>
    <row r="4" spans="1:7" x14ac:dyDescent="0.3">
      <c r="A4">
        <v>1</v>
      </c>
      <c r="B4" s="2">
        <v>2.1007999999999999E-2</v>
      </c>
      <c r="C4" s="10">
        <f>(B4*1.19)</f>
        <v>2.4999519999999997E-2</v>
      </c>
      <c r="E4" s="6"/>
    </row>
    <row r="5" spans="1:7" x14ac:dyDescent="0.3">
      <c r="A5">
        <v>2</v>
      </c>
      <c r="B5" s="2">
        <v>2.1007999999999999E-2</v>
      </c>
      <c r="C5" s="10">
        <f>(B5*1.19)</f>
        <v>2.4999519999999997E-2</v>
      </c>
      <c r="E5" s="6"/>
    </row>
    <row r="6" spans="1:7" x14ac:dyDescent="0.3">
      <c r="A6">
        <v>3</v>
      </c>
      <c r="B6" s="2">
        <v>2.1007999999999999E-2</v>
      </c>
      <c r="C6" s="10">
        <f>(B6*1.19)</f>
        <v>2.4999519999999997E-2</v>
      </c>
      <c r="E6" s="6"/>
    </row>
    <row r="7" spans="1:7" x14ac:dyDescent="0.3">
      <c r="A7">
        <v>4</v>
      </c>
      <c r="B7" s="2">
        <v>2.1007999999999999E-2</v>
      </c>
      <c r="C7" s="10">
        <f>(B7*1.19)</f>
        <v>2.4999519999999997E-2</v>
      </c>
      <c r="E7" s="6"/>
    </row>
    <row r="8" spans="1:7" x14ac:dyDescent="0.3">
      <c r="A8">
        <v>5</v>
      </c>
      <c r="B8" s="2">
        <v>2.1007999999999999E-2</v>
      </c>
      <c r="C8" s="10">
        <f>(B8*1.19)</f>
        <v>2.4999519999999997E-2</v>
      </c>
      <c r="E8" s="6"/>
    </row>
    <row r="9" spans="1:7" x14ac:dyDescent="0.3">
      <c r="A9">
        <v>6</v>
      </c>
      <c r="B9" s="2">
        <v>2.1007999999999999E-2</v>
      </c>
      <c r="C9" s="10">
        <f>(B9*1.19)</f>
        <v>2.4999519999999997E-2</v>
      </c>
      <c r="E9" s="6"/>
    </row>
    <row r="10" spans="1:7" x14ac:dyDescent="0.3">
      <c r="A10">
        <v>7</v>
      </c>
      <c r="B10" s="2">
        <v>2.1007999999999999E-2</v>
      </c>
      <c r="C10" s="10">
        <f>(B10*1.19)</f>
        <v>2.4999519999999997E-2</v>
      </c>
      <c r="E10" s="6"/>
    </row>
    <row r="11" spans="1:7" x14ac:dyDescent="0.3">
      <c r="A11">
        <v>8</v>
      </c>
      <c r="B11" s="2">
        <v>2.1007999999999999E-2</v>
      </c>
      <c r="C11" s="10">
        <f>(B11*1.19)</f>
        <v>2.4999519999999997E-2</v>
      </c>
      <c r="E11" s="6"/>
    </row>
    <row r="12" spans="1:7" x14ac:dyDescent="0.3">
      <c r="A12">
        <v>9</v>
      </c>
      <c r="B12" s="2">
        <v>2.1007999999999999E-2</v>
      </c>
      <c r="C12" s="10">
        <f>(B12*1.19)</f>
        <v>2.4999519999999997E-2</v>
      </c>
      <c r="E12" s="6"/>
    </row>
    <row r="13" spans="1:7" x14ac:dyDescent="0.3">
      <c r="A13">
        <v>10</v>
      </c>
      <c r="B13" s="2">
        <v>2.1007999999999999E-2</v>
      </c>
      <c r="C13" s="10">
        <f>(B13*1.19)</f>
        <v>2.4999519999999997E-2</v>
      </c>
      <c r="E13" s="6"/>
    </row>
    <row r="14" spans="1:7" x14ac:dyDescent="0.3">
      <c r="A14">
        <v>11</v>
      </c>
      <c r="B14" s="2">
        <v>2.1007999999999999E-2</v>
      </c>
      <c r="C14" s="10">
        <f>(B14*1.19)</f>
        <v>2.4999519999999997E-2</v>
      </c>
      <c r="E14" s="6"/>
    </row>
    <row r="15" spans="1:7" x14ac:dyDescent="0.3">
      <c r="A15">
        <v>12</v>
      </c>
      <c r="B15" s="2">
        <v>2.1007999999999999E-2</v>
      </c>
      <c r="C15" s="10">
        <f>(B15*1.19)</f>
        <v>2.4999519999999997E-2</v>
      </c>
      <c r="E15" s="6"/>
    </row>
    <row r="16" spans="1:7" x14ac:dyDescent="0.3">
      <c r="A16">
        <v>13</v>
      </c>
      <c r="B16" s="2">
        <v>2.1007999999999999E-2</v>
      </c>
      <c r="C16" s="10">
        <f>(B16*1.19)</f>
        <v>2.4999519999999997E-2</v>
      </c>
      <c r="E16" s="6"/>
    </row>
    <row r="17" spans="1:5" x14ac:dyDescent="0.3">
      <c r="A17">
        <v>14</v>
      </c>
      <c r="B17" s="2">
        <v>2.1007999999999999E-2</v>
      </c>
      <c r="C17" s="10">
        <f>(B17*1.19)</f>
        <v>2.4999519999999997E-2</v>
      </c>
      <c r="E17" s="6"/>
    </row>
    <row r="18" spans="1:5" x14ac:dyDescent="0.3">
      <c r="A18">
        <v>15</v>
      </c>
      <c r="B18" s="2">
        <v>2.1007999999999999E-2</v>
      </c>
      <c r="C18" s="10">
        <f>(B18*1.19)</f>
        <v>2.4999519999999997E-2</v>
      </c>
      <c r="E18" s="6"/>
    </row>
    <row r="19" spans="1:5" x14ac:dyDescent="0.3">
      <c r="A19">
        <v>16</v>
      </c>
      <c r="B19" s="2">
        <v>2.1007999999999999E-2</v>
      </c>
      <c r="C19" s="10">
        <f>(B19*1.19)</f>
        <v>2.4999519999999997E-2</v>
      </c>
      <c r="E19" s="6"/>
    </row>
    <row r="20" spans="1:5" x14ac:dyDescent="0.3">
      <c r="A20">
        <v>17</v>
      </c>
      <c r="B20" s="2">
        <v>2.1007999999999999E-2</v>
      </c>
      <c r="C20" s="10">
        <f>(B20*1.19)</f>
        <v>2.4999519999999997E-2</v>
      </c>
      <c r="E20" s="6"/>
    </row>
    <row r="21" spans="1:5" x14ac:dyDescent="0.3">
      <c r="A21">
        <v>18</v>
      </c>
      <c r="B21" s="2">
        <v>2.1007999999999999E-2</v>
      </c>
      <c r="C21" s="10">
        <f>(B21*1.19)</f>
        <v>2.4999519999999997E-2</v>
      </c>
      <c r="E21" s="6"/>
    </row>
    <row r="22" spans="1:5" x14ac:dyDescent="0.3">
      <c r="A22">
        <v>19</v>
      </c>
      <c r="B22" s="2">
        <v>2.1007999999999999E-2</v>
      </c>
      <c r="C22" s="10">
        <f>(B22*1.19)</f>
        <v>2.4999519999999997E-2</v>
      </c>
      <c r="E22" s="6"/>
    </row>
    <row r="23" spans="1:5" x14ac:dyDescent="0.3">
      <c r="A23">
        <v>20</v>
      </c>
      <c r="B23" s="2">
        <v>2.1007999999999999E-2</v>
      </c>
      <c r="C23" s="10">
        <f>(B23*1.19)</f>
        <v>2.4999519999999997E-2</v>
      </c>
      <c r="E23" s="6"/>
    </row>
    <row r="24" spans="1:5" x14ac:dyDescent="0.3">
      <c r="A24">
        <v>21</v>
      </c>
      <c r="B24" s="2">
        <v>2.1007999999999999E-2</v>
      </c>
      <c r="C24" s="10">
        <f>(B24*1.19)</f>
        <v>2.4999519999999997E-2</v>
      </c>
      <c r="E24" s="6"/>
    </row>
    <row r="25" spans="1:5" x14ac:dyDescent="0.3">
      <c r="A25">
        <v>22</v>
      </c>
      <c r="B25" s="2">
        <v>2.1007999999999999E-2</v>
      </c>
      <c r="C25" s="10">
        <f>(B25*1.19)</f>
        <v>2.4999519999999997E-2</v>
      </c>
      <c r="E25" s="6"/>
    </row>
    <row r="26" spans="1:5" x14ac:dyDescent="0.3">
      <c r="A26">
        <v>23</v>
      </c>
      <c r="B26" s="2">
        <v>2.1007999999999999E-2</v>
      </c>
      <c r="C26" s="10">
        <f>(B26*1.19)</f>
        <v>2.4999519999999997E-2</v>
      </c>
      <c r="E26" s="6"/>
    </row>
    <row r="27" spans="1:5" x14ac:dyDescent="0.3">
      <c r="A27">
        <v>24</v>
      </c>
      <c r="B27" s="2">
        <v>2.1007999999999999E-2</v>
      </c>
      <c r="C27" s="10">
        <f>(B27*1.19)</f>
        <v>2.4999519999999997E-2</v>
      </c>
      <c r="E27" s="6"/>
    </row>
    <row r="28" spans="1:5" x14ac:dyDescent="0.3">
      <c r="A28">
        <v>25</v>
      </c>
      <c r="B28" s="2">
        <v>2.1007999999999999E-2</v>
      </c>
      <c r="C28" s="10">
        <f>(B28*1.19)</f>
        <v>2.4999519999999997E-2</v>
      </c>
      <c r="E28" s="6"/>
    </row>
    <row r="29" spans="1:5" x14ac:dyDescent="0.3">
      <c r="A29">
        <v>26</v>
      </c>
      <c r="B29" s="2">
        <v>2.1007999999999999E-2</v>
      </c>
      <c r="C29" s="10">
        <f>(B29*1.19)</f>
        <v>2.4999519999999997E-2</v>
      </c>
      <c r="E29" s="6"/>
    </row>
    <row r="30" spans="1:5" x14ac:dyDescent="0.3">
      <c r="A30">
        <v>27</v>
      </c>
      <c r="B30" s="2">
        <v>2.1007999999999999E-2</v>
      </c>
      <c r="C30" s="10">
        <f>(B30*1.19)</f>
        <v>2.4999519999999997E-2</v>
      </c>
      <c r="E30" s="6"/>
    </row>
    <row r="31" spans="1:5" x14ac:dyDescent="0.3">
      <c r="A31">
        <v>28</v>
      </c>
      <c r="B31" s="2">
        <v>2.1007999999999999E-2</v>
      </c>
      <c r="C31" s="10">
        <f>(B31*1.19)</f>
        <v>2.4999519999999997E-2</v>
      </c>
      <c r="E31" s="6"/>
    </row>
    <row r="32" spans="1:5" x14ac:dyDescent="0.3">
      <c r="A32">
        <v>29</v>
      </c>
      <c r="B32" s="2">
        <v>2.1007999999999999E-2</v>
      </c>
      <c r="C32" s="10">
        <f>(B32*1.19)</f>
        <v>2.4999519999999997E-2</v>
      </c>
      <c r="E32" s="6"/>
    </row>
    <row r="33" spans="1:5" x14ac:dyDescent="0.3">
      <c r="A33">
        <v>30</v>
      </c>
      <c r="B33" s="2">
        <v>2.1007999999999999E-2</v>
      </c>
      <c r="C33" s="10">
        <f>(B33*1.19)</f>
        <v>2.4999519999999997E-2</v>
      </c>
      <c r="E33" s="6"/>
    </row>
  </sheetData>
  <pageMargins left="0.7" right="0.7" top="0.75" bottom="0.75" header="0.3" footer="0.3"/>
  <pageSetup paperSize="9" scale="76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40"/>
  <sheetViews>
    <sheetView zoomScale="80" zoomScaleNormal="100" workbookViewId="0">
      <selection activeCell="E9" sqref="E9"/>
    </sheetView>
  </sheetViews>
  <sheetFormatPr baseColWidth="10" defaultColWidth="10.796875" defaultRowHeight="14" x14ac:dyDescent="0.3"/>
  <cols>
    <col min="3" max="3" width="16.59765625" customWidth="1"/>
    <col min="5" max="5" width="21.69921875" bestFit="1" customWidth="1"/>
  </cols>
  <sheetData>
    <row r="1" spans="1:7" x14ac:dyDescent="0.3">
      <c r="A1" s="1" t="s">
        <v>15</v>
      </c>
    </row>
    <row r="2" spans="1:7" ht="18.8" customHeight="1" x14ac:dyDescent="0.4">
      <c r="A2" s="15" t="s">
        <v>16</v>
      </c>
      <c r="B2" s="14"/>
      <c r="C2" s="14"/>
      <c r="D2" s="14"/>
      <c r="E2" s="14"/>
      <c r="F2" s="14"/>
      <c r="G2" s="14"/>
    </row>
    <row r="3" spans="1:7" s="17" customFormat="1" x14ac:dyDescent="0.3">
      <c r="A3" s="16" t="s">
        <v>0</v>
      </c>
      <c r="B3" s="16" t="s">
        <v>1</v>
      </c>
      <c r="C3" s="17" t="s">
        <v>13</v>
      </c>
    </row>
    <row r="4" spans="1:7" x14ac:dyDescent="0.3">
      <c r="A4">
        <v>1</v>
      </c>
      <c r="B4" s="2">
        <v>2.521E-2</v>
      </c>
      <c r="C4" s="10">
        <f>(B4*1.19)</f>
        <v>2.9999899999999999E-2</v>
      </c>
      <c r="E4" s="6"/>
    </row>
    <row r="5" spans="1:7" x14ac:dyDescent="0.3">
      <c r="A5">
        <v>2</v>
      </c>
      <c r="B5" s="2">
        <v>2.521E-2</v>
      </c>
      <c r="C5" s="10">
        <f>(B5*1.19)</f>
        <v>2.9999899999999999E-2</v>
      </c>
      <c r="E5" s="6"/>
    </row>
    <row r="6" spans="1:7" x14ac:dyDescent="0.3">
      <c r="A6">
        <v>3</v>
      </c>
      <c r="B6" s="2">
        <v>2.521E-2</v>
      </c>
      <c r="C6" s="10">
        <f>(B6*1.19)</f>
        <v>2.9999899999999999E-2</v>
      </c>
      <c r="E6" s="6"/>
    </row>
    <row r="7" spans="1:7" x14ac:dyDescent="0.3">
      <c r="A7">
        <v>4</v>
      </c>
      <c r="B7" s="2">
        <v>2.521E-2</v>
      </c>
      <c r="C7" s="10">
        <f>(B7*1.19)</f>
        <v>2.9999899999999999E-2</v>
      </c>
      <c r="E7" s="6"/>
    </row>
    <row r="8" spans="1:7" x14ac:dyDescent="0.3">
      <c r="A8">
        <v>5</v>
      </c>
      <c r="B8" s="2">
        <v>2.521E-2</v>
      </c>
      <c r="C8" s="10">
        <f>(B8*1.19)</f>
        <v>2.9999899999999999E-2</v>
      </c>
      <c r="E8" s="6"/>
    </row>
    <row r="9" spans="1:7" x14ac:dyDescent="0.3">
      <c r="A9">
        <v>6</v>
      </c>
      <c r="B9" s="2">
        <v>2.521E-2</v>
      </c>
      <c r="C9" s="10">
        <f>(B9*1.19)</f>
        <v>2.9999899999999999E-2</v>
      </c>
      <c r="E9" s="6"/>
    </row>
    <row r="10" spans="1:7" x14ac:dyDescent="0.3">
      <c r="A10">
        <v>7</v>
      </c>
      <c r="B10" s="2">
        <v>2.521E-2</v>
      </c>
      <c r="C10" s="10">
        <f>(B10*1.19)</f>
        <v>2.9999899999999999E-2</v>
      </c>
      <c r="E10" s="6"/>
    </row>
    <row r="11" spans="1:7" x14ac:dyDescent="0.3">
      <c r="A11">
        <v>8</v>
      </c>
      <c r="B11" s="2">
        <v>2.521E-2</v>
      </c>
      <c r="C11" s="10">
        <f>(B11*1.19)</f>
        <v>2.9999899999999999E-2</v>
      </c>
      <c r="E11" s="6"/>
    </row>
    <row r="12" spans="1:7" x14ac:dyDescent="0.3">
      <c r="A12">
        <v>9</v>
      </c>
      <c r="B12" s="2">
        <v>2.521E-2</v>
      </c>
      <c r="C12" s="10">
        <f>(B12*1.19)</f>
        <v>2.9999899999999999E-2</v>
      </c>
      <c r="E12" s="6"/>
    </row>
    <row r="13" spans="1:7" x14ac:dyDescent="0.3">
      <c r="A13">
        <v>10</v>
      </c>
      <c r="B13" s="2">
        <v>2.521E-2</v>
      </c>
      <c r="C13" s="10">
        <f>(B13*1.19)</f>
        <v>2.9999899999999999E-2</v>
      </c>
      <c r="E13" s="6"/>
    </row>
    <row r="14" spans="1:7" x14ac:dyDescent="0.3">
      <c r="A14">
        <v>11</v>
      </c>
      <c r="B14" s="2">
        <v>2.521E-2</v>
      </c>
      <c r="C14" s="10">
        <f>(B14*1.19)</f>
        <v>2.9999899999999999E-2</v>
      </c>
      <c r="E14" s="6"/>
    </row>
    <row r="15" spans="1:7" x14ac:dyDescent="0.3">
      <c r="A15">
        <v>12</v>
      </c>
      <c r="B15" s="2">
        <v>2.521E-2</v>
      </c>
      <c r="C15" s="10">
        <f>(B15*1.19)</f>
        <v>2.9999899999999999E-2</v>
      </c>
      <c r="E15" s="6"/>
    </row>
    <row r="16" spans="1:7" x14ac:dyDescent="0.3">
      <c r="A16">
        <v>13</v>
      </c>
      <c r="B16" s="2">
        <v>2.521E-2</v>
      </c>
      <c r="C16" s="10">
        <f>(B16*1.19)</f>
        <v>2.9999899999999999E-2</v>
      </c>
      <c r="E16" s="6"/>
    </row>
    <row r="17" spans="1:5" x14ac:dyDescent="0.3">
      <c r="A17">
        <v>14</v>
      </c>
      <c r="B17" s="2">
        <v>2.521E-2</v>
      </c>
      <c r="C17" s="10">
        <f>(B17*1.19)</f>
        <v>2.9999899999999999E-2</v>
      </c>
      <c r="E17" s="6"/>
    </row>
    <row r="18" spans="1:5" x14ac:dyDescent="0.3">
      <c r="A18">
        <v>15</v>
      </c>
      <c r="B18" s="2">
        <v>2.521E-2</v>
      </c>
      <c r="C18" s="10">
        <f>(B18*1.19)</f>
        <v>2.9999899999999999E-2</v>
      </c>
      <c r="E18" s="6"/>
    </row>
    <row r="19" spans="1:5" x14ac:dyDescent="0.3">
      <c r="A19">
        <v>16</v>
      </c>
      <c r="B19" s="2">
        <v>2.521E-2</v>
      </c>
      <c r="C19" s="10">
        <f>(B19*1.19)</f>
        <v>2.9999899999999999E-2</v>
      </c>
      <c r="E19" s="6"/>
    </row>
    <row r="20" spans="1:5" x14ac:dyDescent="0.3">
      <c r="A20">
        <v>17</v>
      </c>
      <c r="B20" s="2">
        <v>2.521E-2</v>
      </c>
      <c r="C20" s="10">
        <f>(B20*1.19)</f>
        <v>2.9999899999999999E-2</v>
      </c>
      <c r="E20" s="6"/>
    </row>
    <row r="21" spans="1:5" x14ac:dyDescent="0.3">
      <c r="A21">
        <v>18</v>
      </c>
      <c r="B21" s="2">
        <v>2.521E-2</v>
      </c>
      <c r="C21" s="10">
        <f>(B21*1.19)</f>
        <v>2.9999899999999999E-2</v>
      </c>
      <c r="E21" s="6"/>
    </row>
    <row r="22" spans="1:5" x14ac:dyDescent="0.3">
      <c r="A22">
        <v>19</v>
      </c>
      <c r="B22" s="2">
        <v>2.521E-2</v>
      </c>
      <c r="C22" s="10">
        <f>(B22*1.19)</f>
        <v>2.9999899999999999E-2</v>
      </c>
      <c r="E22" s="6"/>
    </row>
    <row r="23" spans="1:5" x14ac:dyDescent="0.3">
      <c r="A23">
        <v>20</v>
      </c>
      <c r="B23" s="2">
        <v>2.521E-2</v>
      </c>
      <c r="C23" s="10">
        <f>(B23*1.19)</f>
        <v>2.9999899999999999E-2</v>
      </c>
      <c r="E23" s="6"/>
    </row>
    <row r="24" spans="1:5" x14ac:dyDescent="0.3">
      <c r="A24">
        <v>21</v>
      </c>
      <c r="B24" s="2">
        <v>2.521E-2</v>
      </c>
      <c r="C24" s="10">
        <f>(B24*1.19)</f>
        <v>2.9999899999999999E-2</v>
      </c>
      <c r="E24" s="6"/>
    </row>
    <row r="25" spans="1:5" x14ac:dyDescent="0.3">
      <c r="A25">
        <v>22</v>
      </c>
      <c r="B25" s="2">
        <v>2.521E-2</v>
      </c>
      <c r="C25" s="10">
        <f>(B25*1.19)</f>
        <v>2.9999899999999999E-2</v>
      </c>
      <c r="E25" s="6"/>
    </row>
    <row r="26" spans="1:5" x14ac:dyDescent="0.3">
      <c r="A26">
        <v>23</v>
      </c>
      <c r="B26" s="2">
        <v>2.521E-2</v>
      </c>
      <c r="C26" s="10">
        <f>(B26*1.19)</f>
        <v>2.9999899999999999E-2</v>
      </c>
      <c r="E26" s="6"/>
    </row>
    <row r="27" spans="1:5" x14ac:dyDescent="0.3">
      <c r="A27">
        <v>24</v>
      </c>
      <c r="B27" s="2">
        <v>2.521E-2</v>
      </c>
      <c r="C27" s="10">
        <f>(B27*1.19)</f>
        <v>2.9999899999999999E-2</v>
      </c>
      <c r="E27" s="6"/>
    </row>
    <row r="28" spans="1:5" x14ac:dyDescent="0.3">
      <c r="A28">
        <v>25</v>
      </c>
      <c r="B28" s="2">
        <v>2.521E-2</v>
      </c>
      <c r="C28" s="10">
        <f>(B28*1.19)</f>
        <v>2.9999899999999999E-2</v>
      </c>
      <c r="E28" s="6"/>
    </row>
    <row r="29" spans="1:5" x14ac:dyDescent="0.3">
      <c r="A29">
        <v>26</v>
      </c>
      <c r="B29" s="2">
        <v>2.521E-2</v>
      </c>
      <c r="C29" s="10">
        <f>(B29*1.19)</f>
        <v>2.9999899999999999E-2</v>
      </c>
      <c r="E29" s="6"/>
    </row>
    <row r="30" spans="1:5" x14ac:dyDescent="0.3">
      <c r="A30">
        <v>27</v>
      </c>
      <c r="B30" s="2">
        <v>2.521E-2</v>
      </c>
      <c r="C30" s="10">
        <f>(B30*1.19)</f>
        <v>2.9999899999999999E-2</v>
      </c>
      <c r="E30" s="6"/>
    </row>
    <row r="31" spans="1:5" x14ac:dyDescent="0.3">
      <c r="A31">
        <v>28</v>
      </c>
      <c r="B31" s="2">
        <v>2.521E-2</v>
      </c>
      <c r="C31" s="10">
        <f>(B31*1.19)</f>
        <v>2.9999899999999999E-2</v>
      </c>
      <c r="E31" s="6"/>
    </row>
    <row r="32" spans="1:5" x14ac:dyDescent="0.3">
      <c r="A32">
        <v>29</v>
      </c>
      <c r="B32" s="2">
        <v>2.521E-2</v>
      </c>
      <c r="C32" s="10">
        <f>(B32*1.19)</f>
        <v>2.9999899999999999E-2</v>
      </c>
      <c r="E32" s="6"/>
    </row>
    <row r="33" spans="1:5" x14ac:dyDescent="0.3">
      <c r="A33">
        <v>30</v>
      </c>
      <c r="B33" s="2">
        <v>2.521E-2</v>
      </c>
      <c r="C33" s="10">
        <f>(B33*1.19)</f>
        <v>2.9999899999999999E-2</v>
      </c>
      <c r="E33" s="6"/>
    </row>
    <row r="34" spans="1:5" x14ac:dyDescent="0.3">
      <c r="A34">
        <v>31</v>
      </c>
      <c r="B34" s="2">
        <v>2.521E-2</v>
      </c>
      <c r="C34" s="10">
        <f>(B34*1.19)</f>
        <v>2.9999899999999999E-2</v>
      </c>
      <c r="E34" s="6"/>
    </row>
    <row r="35" spans="1:5" x14ac:dyDescent="0.3">
      <c r="A35">
        <v>32</v>
      </c>
      <c r="B35" s="2">
        <v>2.521E-2</v>
      </c>
      <c r="C35" s="10">
        <f>(B35*1.19)</f>
        <v>2.9999899999999999E-2</v>
      </c>
      <c r="E35" s="6"/>
    </row>
    <row r="36" spans="1:5" x14ac:dyDescent="0.3">
      <c r="A36">
        <v>33</v>
      </c>
      <c r="B36" s="2">
        <v>2.521E-2</v>
      </c>
      <c r="C36" s="10">
        <f>(B36*1.19)</f>
        <v>2.9999899999999999E-2</v>
      </c>
      <c r="E36" s="6"/>
    </row>
    <row r="37" spans="1:5" x14ac:dyDescent="0.3">
      <c r="A37">
        <v>34</v>
      </c>
      <c r="B37" s="2">
        <v>2.521E-2</v>
      </c>
      <c r="C37" s="10">
        <f>(B37*1.19)</f>
        <v>2.9999899999999999E-2</v>
      </c>
      <c r="E37" s="6"/>
    </row>
    <row r="38" spans="1:5" x14ac:dyDescent="0.3">
      <c r="A38">
        <v>35</v>
      </c>
      <c r="B38" s="2">
        <v>2.521E-2</v>
      </c>
      <c r="C38" s="10">
        <f>(B38*1.19)</f>
        <v>2.9999899999999999E-2</v>
      </c>
      <c r="E38" s="6"/>
    </row>
    <row r="39" spans="1:5" x14ac:dyDescent="0.3">
      <c r="A39">
        <v>36</v>
      </c>
      <c r="B39" s="2">
        <v>2.521E-2</v>
      </c>
      <c r="C39" s="10">
        <f>(B39*1.19)</f>
        <v>2.9999899999999999E-2</v>
      </c>
      <c r="E39" s="6"/>
    </row>
    <row r="40" spans="1:5" x14ac:dyDescent="0.3">
      <c r="B40" s="2"/>
      <c r="C40" t="s">
        <v>2</v>
      </c>
      <c r="D40" s="5" t="s">
        <v>2</v>
      </c>
    </row>
  </sheetData>
  <pageMargins left="0.7" right="0.7" top="0.75" bottom="0.75" header="0.3" footer="0.3"/>
  <pageSetup paperSize="9" scale="7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GLOBAL</vt:lpstr>
      <vt:lpstr>EMP023</vt:lpstr>
      <vt:lpstr>FGA01</vt:lpstr>
      <vt:lpstr>FGA02</vt:lpstr>
      <vt:lpstr>FGA03</vt:lpstr>
      <vt:lpstr>'FGA01'!Área_de_impresión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GERSON G.S</cp:lastModifiedBy>
  <cp:lastPrinted>2025-12-11T15:08:39Z</cp:lastPrinted>
  <dcterms:created xsi:type="dcterms:W3CDTF">2023-12-15T20:53:07Z</dcterms:created>
  <dcterms:modified xsi:type="dcterms:W3CDTF">2026-01-08T20:54:57Z</dcterms:modified>
</cp:coreProperties>
</file>